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Desktop\Dateien\Ordner\Nintendo\TASing\movies\gc\misc\castlemovement\routing_calc\05am\"/>
    </mc:Choice>
  </mc:AlternateContent>
  <xr:revisionPtr revIDLastSave="0" documentId="13_ncr:1_{01B5DD89-7672-427C-83B8-85AB911C3034}" xr6:coauthVersionLast="47" xr6:coauthVersionMax="47" xr10:uidLastSave="{00000000-0000-0000-0000-000000000000}"/>
  <bookViews>
    <workbookView xWindow="-120" yWindow="-120" windowWidth="29040" windowHeight="15840" xr2:uid="{64793CC4-C04C-4700-92C4-A69C9BEFDD28}"/>
  </bookViews>
  <sheets>
    <sheet name="Green Comet Route Brutefor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1" l="1"/>
  <c r="I56" i="1"/>
  <c r="I63" i="1"/>
  <c r="J63" i="1"/>
  <c r="I30" i="1"/>
  <c r="I14" i="1"/>
  <c r="I7" i="1"/>
  <c r="L111" i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L103" i="1"/>
  <c r="M103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I111" i="1"/>
  <c r="I110" i="1"/>
  <c r="I109" i="1"/>
  <c r="I108" i="1"/>
  <c r="I107" i="1"/>
  <c r="I106" i="1"/>
  <c r="I105" i="1"/>
  <c r="I104" i="1"/>
  <c r="I103" i="1"/>
  <c r="M111" i="1"/>
  <c r="M104" i="1"/>
  <c r="K103" i="1"/>
  <c r="L92" i="1"/>
  <c r="M92" i="1" s="1"/>
  <c r="L95" i="1"/>
  <c r="M95" i="1" s="1"/>
  <c r="L94" i="1"/>
  <c r="M94" i="1" s="1"/>
  <c r="L93" i="1"/>
  <c r="L91" i="1"/>
  <c r="L90" i="1"/>
  <c r="M90" i="1" s="1"/>
  <c r="L89" i="1"/>
  <c r="M89" i="1" s="1"/>
  <c r="L88" i="1"/>
  <c r="M88" i="1" s="1"/>
  <c r="M91" i="1"/>
  <c r="L87" i="1"/>
  <c r="M87" i="1" s="1"/>
  <c r="K87" i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I95" i="1"/>
  <c r="I94" i="1"/>
  <c r="I93" i="1"/>
  <c r="I92" i="1"/>
  <c r="I91" i="1"/>
  <c r="I90" i="1"/>
  <c r="I89" i="1"/>
  <c r="I88" i="1"/>
  <c r="I87" i="1"/>
  <c r="M79" i="1"/>
  <c r="L79" i="1"/>
  <c r="L78" i="1"/>
  <c r="L77" i="1"/>
  <c r="M77" i="1" s="1"/>
  <c r="L76" i="1"/>
  <c r="L75" i="1"/>
  <c r="L74" i="1"/>
  <c r="L73" i="1"/>
  <c r="M73" i="1" s="1"/>
  <c r="L72" i="1"/>
  <c r="M72" i="1" s="1"/>
  <c r="L71" i="1"/>
  <c r="M71" i="1" s="1"/>
  <c r="J78" i="1"/>
  <c r="K78" i="1" s="1"/>
  <c r="J79" i="1"/>
  <c r="K79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J71" i="1"/>
  <c r="I79" i="1"/>
  <c r="I78" i="1"/>
  <c r="I77" i="1"/>
  <c r="I76" i="1"/>
  <c r="I75" i="1"/>
  <c r="I74" i="1"/>
  <c r="I73" i="1"/>
  <c r="I72" i="1"/>
  <c r="I71" i="1"/>
  <c r="M93" i="1"/>
  <c r="M78" i="1"/>
  <c r="M76" i="1"/>
  <c r="M75" i="1"/>
  <c r="M74" i="1"/>
  <c r="K72" i="1"/>
  <c r="K71" i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I62" i="1"/>
  <c r="I61" i="1"/>
  <c r="I60" i="1"/>
  <c r="I59" i="1"/>
  <c r="I58" i="1"/>
  <c r="I57" i="1"/>
  <c r="K63" i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L47" i="1"/>
  <c r="L46" i="1"/>
  <c r="L45" i="1"/>
  <c r="L44" i="1"/>
  <c r="L40" i="1"/>
  <c r="L39" i="1"/>
  <c r="M47" i="1"/>
  <c r="J47" i="1"/>
  <c r="K47" i="1" s="1"/>
  <c r="I47" i="1"/>
  <c r="M46" i="1"/>
  <c r="J46" i="1"/>
  <c r="K46" i="1" s="1"/>
  <c r="I46" i="1"/>
  <c r="M45" i="1"/>
  <c r="J45" i="1"/>
  <c r="K45" i="1" s="1"/>
  <c r="I45" i="1"/>
  <c r="M44" i="1"/>
  <c r="J44" i="1"/>
  <c r="K44" i="1" s="1"/>
  <c r="I44" i="1"/>
  <c r="L43" i="1"/>
  <c r="M43" i="1" s="1"/>
  <c r="J43" i="1"/>
  <c r="K43" i="1" s="1"/>
  <c r="I43" i="1"/>
  <c r="L42" i="1"/>
  <c r="M42" i="1" s="1"/>
  <c r="J42" i="1"/>
  <c r="K42" i="1" s="1"/>
  <c r="I42" i="1"/>
  <c r="L41" i="1"/>
  <c r="M41" i="1" s="1"/>
  <c r="J41" i="1"/>
  <c r="K41" i="1" s="1"/>
  <c r="I41" i="1"/>
  <c r="M40" i="1"/>
  <c r="J40" i="1"/>
  <c r="K40" i="1" s="1"/>
  <c r="I40" i="1"/>
  <c r="M39" i="1"/>
  <c r="L23" i="1"/>
  <c r="J39" i="1"/>
  <c r="K39" i="1" s="1"/>
  <c r="I39" i="1"/>
  <c r="L31" i="1"/>
  <c r="L30" i="1"/>
  <c r="L29" i="1"/>
  <c r="L28" i="1"/>
  <c r="M28" i="1" s="1"/>
  <c r="L27" i="1"/>
  <c r="M27" i="1" s="1"/>
  <c r="L26" i="1"/>
  <c r="M26" i="1" s="1"/>
  <c r="M31" i="1"/>
  <c r="J31" i="1"/>
  <c r="K31" i="1" s="1"/>
  <c r="I31" i="1"/>
  <c r="M30" i="1"/>
  <c r="J30" i="1"/>
  <c r="K30" i="1" s="1"/>
  <c r="M29" i="1"/>
  <c r="J29" i="1"/>
  <c r="K29" i="1" s="1"/>
  <c r="I29" i="1"/>
  <c r="J28" i="1"/>
  <c r="K28" i="1" s="1"/>
  <c r="I28" i="1"/>
  <c r="J27" i="1"/>
  <c r="K27" i="1" s="1"/>
  <c r="I27" i="1"/>
  <c r="J26" i="1"/>
  <c r="K26" i="1" s="1"/>
  <c r="I26" i="1"/>
  <c r="L25" i="1"/>
  <c r="M25" i="1" s="1"/>
  <c r="J25" i="1"/>
  <c r="K25" i="1" s="1"/>
  <c r="I25" i="1"/>
  <c r="L24" i="1"/>
  <c r="M24" i="1" s="1"/>
  <c r="J24" i="1"/>
  <c r="K24" i="1" s="1"/>
  <c r="I24" i="1"/>
  <c r="M23" i="1"/>
  <c r="J23" i="1"/>
  <c r="K23" i="1" s="1"/>
  <c r="I23" i="1"/>
  <c r="I6" i="1"/>
  <c r="J15" i="1"/>
  <c r="K15" i="1" s="1"/>
  <c r="J12" i="1"/>
  <c r="J8" i="1"/>
  <c r="J7" i="1"/>
  <c r="K7" i="1" s="1"/>
  <c r="J6" i="1"/>
  <c r="K6" i="1" s="1"/>
  <c r="I15" i="1"/>
  <c r="J14" i="1"/>
  <c r="K14" i="1" s="1"/>
  <c r="J13" i="1"/>
  <c r="K13" i="1" s="1"/>
  <c r="I13" i="1"/>
  <c r="K12" i="1"/>
  <c r="I12" i="1"/>
  <c r="J11" i="1"/>
  <c r="K11" i="1" s="1"/>
  <c r="I11" i="1"/>
  <c r="J10" i="1"/>
  <c r="K10" i="1" s="1"/>
  <c r="I10" i="1"/>
  <c r="J9" i="1"/>
  <c r="K9" i="1" s="1"/>
  <c r="I9" i="1"/>
  <c r="K8" i="1"/>
  <c r="I8" i="1"/>
</calcChain>
</file>

<file path=xl/sharedStrings.xml><?xml version="1.0" encoding="utf-8"?>
<sst xmlns="http://schemas.openxmlformats.org/spreadsheetml/2006/main" count="177" uniqueCount="50">
  <si>
    <t>BM</t>
  </si>
  <si>
    <t>B1</t>
  </si>
  <si>
    <t>BOF</t>
  </si>
  <si>
    <t>CCM</t>
  </si>
  <si>
    <t>CT</t>
  </si>
  <si>
    <t>JRB</t>
  </si>
  <si>
    <t>TF</t>
  </si>
  <si>
    <t>WOF</t>
  </si>
  <si>
    <t>PSS</t>
  </si>
  <si>
    <t>AM</t>
  </si>
  <si>
    <t>Stages</t>
  </si>
  <si>
    <t>Abbreviation</t>
  </si>
  <si>
    <t>Node</t>
  </si>
  <si>
    <t>Castle Ground Warp</t>
  </si>
  <si>
    <t>CGW</t>
  </si>
  <si>
    <t>Top Floor (Door)</t>
  </si>
  <si>
    <t>The Princess's Secret Slide</t>
  </si>
  <si>
    <t>WC. Cloudy Towers</t>
  </si>
  <si>
    <t>Basement (Door)</t>
  </si>
  <si>
    <t>1. Bob-omb Fields</t>
  </si>
  <si>
    <t>2. Whomp's Old Fortress</t>
  </si>
  <si>
    <t>3. Jolly Roger Bay</t>
  </si>
  <si>
    <t>4. Cool, Cool Mountain</t>
  </si>
  <si>
    <t>B1. The Dark World</t>
  </si>
  <si>
    <t>Information</t>
  </si>
  <si>
    <t>start node</t>
  </si>
  <si>
    <t>end node</t>
  </si>
  <si>
    <t>exits at CGW</t>
  </si>
  <si>
    <t>exits at CGW (after exiting from HMC)</t>
  </si>
  <si>
    <t>exits at CGW, must be visited 4 times</t>
  </si>
  <si>
    <t>Timings CGW</t>
  </si>
  <si>
    <t>To</t>
  </si>
  <si>
    <t>Frame Count</t>
  </si>
  <si>
    <t>VI Count</t>
  </si>
  <si>
    <t>Start Frame</t>
  </si>
  <si>
    <t>Start VI</t>
  </si>
  <si>
    <t>End Frame</t>
  </si>
  <si>
    <t>End VI</t>
  </si>
  <si>
    <t>Time</t>
  </si>
  <si>
    <t>Timings BOF</t>
  </si>
  <si>
    <t>End VI To CGW</t>
  </si>
  <si>
    <t>VI Count Over CGW</t>
  </si>
  <si>
    <t>Time Over CGW</t>
  </si>
  <si>
    <t>Timings WOF</t>
  </si>
  <si>
    <t>Timings JRB</t>
  </si>
  <si>
    <t>5. Abandoned Mansion (Door)</t>
  </si>
  <si>
    <t>Timings CCM</t>
  </si>
  <si>
    <t>Timings B1</t>
  </si>
  <si>
    <t>Timings AM</t>
  </si>
  <si>
    <t>The red times are incomplete TASes to the destination nodes that were not completed because the route over CGW is already faster from that incomplete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</si>
</sst>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7" xfId="0" applyBorder="1"/>
    <xf numFmtId="0" fontId="0" fillId="0" borderId="5" xfId="0" applyBorder="1"/>
    <xf numFmtId="0" fontId="2" fillId="0" borderId="6" xfId="0" applyFont="1" applyBorder="1"/>
    <xf numFmtId="0" fontId="1" fillId="0" borderId="4" xfId="0" applyFont="1" applyBorder="1"/>
    <xf numFmtId="0" fontId="1" fillId="0" borderId="8" xfId="0" applyFont="1" applyBorder="1"/>
    <xf numFmtId="0" fontId="0" fillId="0" borderId="8" xfId="0" applyBorder="1"/>
    <xf numFmtId="0" fontId="3" fillId="0" borderId="8" xfId="0" applyFont="1" applyBorder="1"/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Standard" xfId="0" builtinId="0"/>
  </cellStyles>
  <dxfs count="95">
    <dxf>
      <font>
        <color rgb="FFFF0000"/>
      </font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FF0000"/>
      </font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rgb="FFFF0000"/>
      </font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rgb="FFC00000"/>
      </font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rgb="FFFF0000"/>
      </font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9CAC-E316-452D-B1C4-A48378019FDD}">
  <sheetPr>
    <pageSetUpPr autoPageBreaks="0"/>
  </sheetPr>
  <dimension ref="B2:M111"/>
  <sheetViews>
    <sheetView tabSelected="1" zoomScaleNormal="100" workbookViewId="0">
      <selection activeCell="B17" sqref="B17"/>
    </sheetView>
  </sheetViews>
  <sheetFormatPr baseColWidth="10" defaultRowHeight="15" x14ac:dyDescent="0.25"/>
  <cols>
    <col min="2" max="2" width="27.7109375" customWidth="1"/>
    <col min="3" max="3" width="13" customWidth="1"/>
    <col min="4" max="4" width="39.85546875" customWidth="1"/>
    <col min="5" max="5" width="14.140625" customWidth="1"/>
    <col min="6" max="6" width="14.5703125" customWidth="1"/>
    <col min="7" max="7" width="13" customWidth="1"/>
    <col min="9" max="9" width="13" customWidth="1"/>
    <col min="11" max="11" width="11" customWidth="1"/>
    <col min="12" max="12" width="19.85546875" customWidth="1"/>
    <col min="13" max="13" width="15.5703125" customWidth="1"/>
  </cols>
  <sheetData>
    <row r="2" spans="2:11" x14ac:dyDescent="0.25">
      <c r="B2" s="8" t="s">
        <v>10</v>
      </c>
      <c r="C2" s="1"/>
      <c r="D2" s="1"/>
      <c r="F2" s="8" t="s">
        <v>30</v>
      </c>
    </row>
    <row r="3" spans="2:11" x14ac:dyDescent="0.25">
      <c r="B3" s="10" t="s">
        <v>12</v>
      </c>
      <c r="C3" s="10" t="s">
        <v>11</v>
      </c>
      <c r="D3" s="10" t="s">
        <v>24</v>
      </c>
      <c r="F3" s="4" t="s">
        <v>34</v>
      </c>
      <c r="G3" s="3">
        <v>17</v>
      </c>
      <c r="H3" s="1"/>
    </row>
    <row r="4" spans="2:11" x14ac:dyDescent="0.25">
      <c r="B4" s="11" t="s">
        <v>13</v>
      </c>
      <c r="C4" s="11" t="s">
        <v>14</v>
      </c>
      <c r="D4" s="11" t="s">
        <v>25</v>
      </c>
      <c r="F4" s="9" t="s">
        <v>35</v>
      </c>
      <c r="G4" s="7">
        <v>47</v>
      </c>
      <c r="H4" s="6"/>
      <c r="I4" s="6"/>
      <c r="J4" s="6"/>
    </row>
    <row r="5" spans="2:11" x14ac:dyDescent="0.25">
      <c r="B5" s="11" t="s">
        <v>15</v>
      </c>
      <c r="C5" s="11" t="s">
        <v>6</v>
      </c>
      <c r="D5" s="11" t="s">
        <v>26</v>
      </c>
      <c r="F5" s="10" t="s">
        <v>31</v>
      </c>
      <c r="G5" s="10" t="s">
        <v>36</v>
      </c>
      <c r="H5" s="10" t="s">
        <v>37</v>
      </c>
      <c r="I5" s="10" t="s">
        <v>32</v>
      </c>
      <c r="J5" s="10" t="s">
        <v>33</v>
      </c>
      <c r="K5" s="10" t="s">
        <v>38</v>
      </c>
    </row>
    <row r="6" spans="2:11" x14ac:dyDescent="0.25">
      <c r="B6" s="11" t="s">
        <v>16</v>
      </c>
      <c r="C6" s="11" t="s">
        <v>8</v>
      </c>
      <c r="D6" s="11" t="s">
        <v>29</v>
      </c>
      <c r="F6" s="11" t="s">
        <v>6</v>
      </c>
      <c r="G6" s="11">
        <v>67</v>
      </c>
      <c r="H6" s="11">
        <v>147</v>
      </c>
      <c r="I6" s="11">
        <f>G6-$G$3</f>
        <v>50</v>
      </c>
      <c r="J6" s="11">
        <f>H6-$G$4</f>
        <v>100</v>
      </c>
      <c r="K6" s="11">
        <f>ROUND(J6/60, 2)</f>
        <v>1.67</v>
      </c>
    </row>
    <row r="7" spans="2:11" x14ac:dyDescent="0.25">
      <c r="B7" s="11" t="s">
        <v>17</v>
      </c>
      <c r="C7" s="11" t="s">
        <v>4</v>
      </c>
      <c r="D7" s="11" t="s">
        <v>27</v>
      </c>
      <c r="F7" s="11" t="s">
        <v>8</v>
      </c>
      <c r="G7" s="11">
        <v>112</v>
      </c>
      <c r="H7" s="11">
        <v>237</v>
      </c>
      <c r="I7" s="11">
        <f>G7-$G$3</f>
        <v>95</v>
      </c>
      <c r="J7" s="11">
        <f>H7-$G$4</f>
        <v>190</v>
      </c>
      <c r="K7" s="11">
        <f t="shared" ref="K7:K15" si="0">ROUND(J7/60, 2)</f>
        <v>3.17</v>
      </c>
    </row>
    <row r="8" spans="2:11" x14ac:dyDescent="0.25">
      <c r="B8" s="11" t="s">
        <v>18</v>
      </c>
      <c r="C8" s="11" t="s">
        <v>0</v>
      </c>
      <c r="D8" s="11" t="s">
        <v>28</v>
      </c>
      <c r="F8" s="11" t="s">
        <v>4</v>
      </c>
      <c r="G8" s="11">
        <v>44</v>
      </c>
      <c r="H8" s="11">
        <v>101</v>
      </c>
      <c r="I8" s="11">
        <f t="shared" ref="I7:I13" si="1">G8-$G$3</f>
        <v>27</v>
      </c>
      <c r="J8" s="11">
        <f>H8-$G$4</f>
        <v>54</v>
      </c>
      <c r="K8" s="11">
        <f t="shared" si="0"/>
        <v>0.9</v>
      </c>
    </row>
    <row r="9" spans="2:11" x14ac:dyDescent="0.25">
      <c r="B9" s="11" t="s">
        <v>19</v>
      </c>
      <c r="C9" s="11" t="s">
        <v>2</v>
      </c>
      <c r="D9" s="11"/>
      <c r="F9" s="11" t="s">
        <v>0</v>
      </c>
      <c r="G9" s="11">
        <v>152</v>
      </c>
      <c r="H9" s="11">
        <v>317</v>
      </c>
      <c r="I9" s="11">
        <f t="shared" si="1"/>
        <v>135</v>
      </c>
      <c r="J9" s="11">
        <f t="shared" ref="J9:J13" si="2">H9-$G$4</f>
        <v>270</v>
      </c>
      <c r="K9" s="11">
        <f t="shared" si="0"/>
        <v>4.5</v>
      </c>
    </row>
    <row r="10" spans="2:11" x14ac:dyDescent="0.25">
      <c r="B10" s="11" t="s">
        <v>20</v>
      </c>
      <c r="C10" s="11" t="s">
        <v>7</v>
      </c>
      <c r="D10" s="11"/>
      <c r="F10" s="11" t="s">
        <v>2</v>
      </c>
      <c r="G10" s="11">
        <v>135</v>
      </c>
      <c r="H10" s="11">
        <v>283</v>
      </c>
      <c r="I10" s="11">
        <f t="shared" si="1"/>
        <v>118</v>
      </c>
      <c r="J10" s="11">
        <f t="shared" si="2"/>
        <v>236</v>
      </c>
      <c r="K10" s="11">
        <f t="shared" si="0"/>
        <v>3.93</v>
      </c>
    </row>
    <row r="11" spans="2:11" x14ac:dyDescent="0.25">
      <c r="B11" s="11" t="s">
        <v>21</v>
      </c>
      <c r="C11" s="11" t="s">
        <v>5</v>
      </c>
      <c r="D11" s="11"/>
      <c r="F11" s="11" t="s">
        <v>7</v>
      </c>
      <c r="G11" s="11">
        <v>112</v>
      </c>
      <c r="H11" s="11">
        <v>237</v>
      </c>
      <c r="I11" s="11">
        <f t="shared" si="1"/>
        <v>95</v>
      </c>
      <c r="J11" s="11">
        <f t="shared" si="2"/>
        <v>190</v>
      </c>
      <c r="K11" s="11">
        <f t="shared" si="0"/>
        <v>3.17</v>
      </c>
    </row>
    <row r="12" spans="2:11" x14ac:dyDescent="0.25">
      <c r="B12" s="11" t="s">
        <v>22</v>
      </c>
      <c r="C12" s="11" t="s">
        <v>3</v>
      </c>
      <c r="D12" s="11"/>
      <c r="F12" s="11" t="s">
        <v>5</v>
      </c>
      <c r="G12" s="11">
        <v>124</v>
      </c>
      <c r="H12" s="11">
        <v>261</v>
      </c>
      <c r="I12" s="11">
        <f t="shared" si="1"/>
        <v>107</v>
      </c>
      <c r="J12" s="11">
        <f>H12-$G$4</f>
        <v>214</v>
      </c>
      <c r="K12" s="11">
        <f t="shared" si="0"/>
        <v>3.57</v>
      </c>
    </row>
    <row r="13" spans="2:11" x14ac:dyDescent="0.25">
      <c r="B13" s="11" t="s">
        <v>45</v>
      </c>
      <c r="C13" s="11" t="s">
        <v>9</v>
      </c>
      <c r="D13" s="11"/>
      <c r="F13" s="11" t="s">
        <v>3</v>
      </c>
      <c r="G13" s="11">
        <v>112</v>
      </c>
      <c r="H13" s="11">
        <v>237</v>
      </c>
      <c r="I13" s="11">
        <f t="shared" si="1"/>
        <v>95</v>
      </c>
      <c r="J13" s="11">
        <f t="shared" si="2"/>
        <v>190</v>
      </c>
      <c r="K13" s="11">
        <f t="shared" si="0"/>
        <v>3.17</v>
      </c>
    </row>
    <row r="14" spans="2:11" x14ac:dyDescent="0.25">
      <c r="B14" s="11" t="s">
        <v>23</v>
      </c>
      <c r="C14" s="11" t="s">
        <v>1</v>
      </c>
      <c r="D14" s="11"/>
      <c r="F14" s="11" t="s">
        <v>9</v>
      </c>
      <c r="G14" s="11">
        <v>117</v>
      </c>
      <c r="H14" s="11">
        <v>247</v>
      </c>
      <c r="I14" s="11">
        <f>G14-$G$3</f>
        <v>100</v>
      </c>
      <c r="J14" s="11">
        <f>H14-$G$4</f>
        <v>200</v>
      </c>
      <c r="K14" s="11">
        <f t="shared" si="0"/>
        <v>3.33</v>
      </c>
    </row>
    <row r="15" spans="2:11" x14ac:dyDescent="0.25">
      <c r="F15" s="11" t="s">
        <v>1</v>
      </c>
      <c r="G15" s="11">
        <v>113</v>
      </c>
      <c r="H15" s="11">
        <v>239</v>
      </c>
      <c r="I15" s="11">
        <f>G15-$G$3</f>
        <v>96</v>
      </c>
      <c r="J15" s="11">
        <f>H15-$G$4</f>
        <v>192</v>
      </c>
      <c r="K15" s="11">
        <f t="shared" si="0"/>
        <v>3.2</v>
      </c>
    </row>
    <row r="17" spans="2:13" x14ac:dyDescent="0.25">
      <c r="B17" s="2"/>
    </row>
    <row r="18" spans="2:13" x14ac:dyDescent="0.25">
      <c r="B18" s="1"/>
      <c r="C18" s="1"/>
      <c r="D18" s="1"/>
      <c r="F18" s="8" t="s">
        <v>39</v>
      </c>
    </row>
    <row r="19" spans="2:13" x14ac:dyDescent="0.25">
      <c r="F19" s="4" t="s">
        <v>34</v>
      </c>
      <c r="G19" s="3">
        <v>160</v>
      </c>
      <c r="H19" s="1"/>
    </row>
    <row r="20" spans="2:13" x14ac:dyDescent="0.25">
      <c r="F20" s="4" t="s">
        <v>35</v>
      </c>
      <c r="G20" s="5">
        <v>333</v>
      </c>
    </row>
    <row r="21" spans="2:13" x14ac:dyDescent="0.25">
      <c r="F21" s="4" t="s">
        <v>40</v>
      </c>
      <c r="G21" s="5">
        <v>793</v>
      </c>
    </row>
    <row r="22" spans="2:13" x14ac:dyDescent="0.25">
      <c r="F22" s="10" t="s">
        <v>31</v>
      </c>
      <c r="G22" s="10" t="s">
        <v>36</v>
      </c>
      <c r="H22" s="10" t="s">
        <v>37</v>
      </c>
      <c r="I22" s="10" t="s">
        <v>32</v>
      </c>
      <c r="J22" s="10" t="s">
        <v>33</v>
      </c>
      <c r="K22" s="10" t="s">
        <v>38</v>
      </c>
      <c r="L22" s="10" t="s">
        <v>41</v>
      </c>
      <c r="M22" s="10" t="s">
        <v>42</v>
      </c>
    </row>
    <row r="23" spans="2:13" x14ac:dyDescent="0.25">
      <c r="F23" s="11" t="s">
        <v>6</v>
      </c>
      <c r="G23" s="11">
        <v>313</v>
      </c>
      <c r="H23" s="11">
        <v>639</v>
      </c>
      <c r="I23" s="11">
        <f>G23-$G$19</f>
        <v>153</v>
      </c>
      <c r="J23" s="11">
        <f>H23-$G$20</f>
        <v>306</v>
      </c>
      <c r="K23" s="11">
        <f>ROUND(J23/60, 2)</f>
        <v>5.0999999999999996</v>
      </c>
      <c r="L23" s="11">
        <f>$G$21-$G$20+J6</f>
        <v>560</v>
      </c>
      <c r="M23" s="11">
        <f>ROUND(L23/60, 2)</f>
        <v>9.33</v>
      </c>
    </row>
    <row r="24" spans="2:13" x14ac:dyDescent="0.25">
      <c r="F24" s="11" t="s">
        <v>8</v>
      </c>
      <c r="G24" s="11">
        <v>332</v>
      </c>
      <c r="H24" s="11">
        <v>677</v>
      </c>
      <c r="I24" s="11">
        <f t="shared" ref="I24:I31" si="3">G24-$G$19</f>
        <v>172</v>
      </c>
      <c r="J24" s="11">
        <f t="shared" ref="J24:J31" si="4">H24-$G$20</f>
        <v>344</v>
      </c>
      <c r="K24" s="11">
        <f t="shared" ref="K24:K31" si="5">ROUND(J24/60, 2)</f>
        <v>5.73</v>
      </c>
      <c r="L24" s="11">
        <f t="shared" ref="L24:L25" si="6">$G$21-$G$20+J7</f>
        <v>650</v>
      </c>
      <c r="M24" s="11">
        <f t="shared" ref="M24:M31" si="7">ROUND(L24/60, 2)</f>
        <v>10.83</v>
      </c>
    </row>
    <row r="25" spans="2:13" x14ac:dyDescent="0.25">
      <c r="F25" s="11" t="s">
        <v>4</v>
      </c>
      <c r="G25" s="11">
        <v>338</v>
      </c>
      <c r="H25" s="11">
        <v>689</v>
      </c>
      <c r="I25" s="11">
        <f t="shared" si="3"/>
        <v>178</v>
      </c>
      <c r="J25" s="11">
        <f t="shared" si="4"/>
        <v>356</v>
      </c>
      <c r="K25" s="11">
        <f t="shared" si="5"/>
        <v>5.93</v>
      </c>
      <c r="L25" s="11">
        <f t="shared" si="6"/>
        <v>514</v>
      </c>
      <c r="M25" s="11">
        <f t="shared" si="7"/>
        <v>8.57</v>
      </c>
    </row>
    <row r="26" spans="2:13" x14ac:dyDescent="0.25">
      <c r="F26" s="11" t="s">
        <v>0</v>
      </c>
      <c r="G26" s="11">
        <v>341</v>
      </c>
      <c r="H26" s="11">
        <v>695</v>
      </c>
      <c r="I26" s="11">
        <f t="shared" si="3"/>
        <v>181</v>
      </c>
      <c r="J26" s="11">
        <f t="shared" si="4"/>
        <v>362</v>
      </c>
      <c r="K26" s="11">
        <f t="shared" si="5"/>
        <v>6.03</v>
      </c>
      <c r="L26" s="11">
        <f>$G$21-$G$20+J9</f>
        <v>730</v>
      </c>
      <c r="M26" s="11">
        <f t="shared" si="7"/>
        <v>12.17</v>
      </c>
    </row>
    <row r="27" spans="2:13" x14ac:dyDescent="0.25">
      <c r="F27" s="11" t="s">
        <v>7</v>
      </c>
      <c r="G27" s="11">
        <v>323</v>
      </c>
      <c r="H27" s="11">
        <v>659</v>
      </c>
      <c r="I27" s="11">
        <f t="shared" si="3"/>
        <v>163</v>
      </c>
      <c r="J27" s="11">
        <f t="shared" si="4"/>
        <v>326</v>
      </c>
      <c r="K27" s="11">
        <f t="shared" si="5"/>
        <v>5.43</v>
      </c>
      <c r="L27" s="11">
        <f>$G$21-$G$20+J11</f>
        <v>650</v>
      </c>
      <c r="M27" s="11">
        <f t="shared" si="7"/>
        <v>10.83</v>
      </c>
    </row>
    <row r="28" spans="2:13" x14ac:dyDescent="0.25">
      <c r="F28" s="11" t="s">
        <v>5</v>
      </c>
      <c r="G28" s="11">
        <v>329</v>
      </c>
      <c r="H28" s="11">
        <v>671</v>
      </c>
      <c r="I28" s="11">
        <f t="shared" si="3"/>
        <v>169</v>
      </c>
      <c r="J28" s="11">
        <f t="shared" si="4"/>
        <v>338</v>
      </c>
      <c r="K28" s="11">
        <f t="shared" si="5"/>
        <v>5.63</v>
      </c>
      <c r="L28" s="11">
        <f>$G$21-$G$20+J12</f>
        <v>674</v>
      </c>
      <c r="M28" s="11">
        <f t="shared" si="7"/>
        <v>11.23</v>
      </c>
    </row>
    <row r="29" spans="2:13" x14ac:dyDescent="0.25">
      <c r="F29" s="11" t="s">
        <v>3</v>
      </c>
      <c r="G29" s="11">
        <v>339</v>
      </c>
      <c r="H29" s="11">
        <v>691</v>
      </c>
      <c r="I29" s="11">
        <f t="shared" si="3"/>
        <v>179</v>
      </c>
      <c r="J29" s="11">
        <f t="shared" si="4"/>
        <v>358</v>
      </c>
      <c r="K29" s="11">
        <f t="shared" si="5"/>
        <v>5.97</v>
      </c>
      <c r="L29" s="11">
        <f>$G$21-$G$20+J13</f>
        <v>650</v>
      </c>
      <c r="M29" s="11">
        <f t="shared" si="7"/>
        <v>10.83</v>
      </c>
    </row>
    <row r="30" spans="2:13" x14ac:dyDescent="0.25">
      <c r="F30" s="11" t="s">
        <v>9</v>
      </c>
      <c r="G30" s="11">
        <v>328</v>
      </c>
      <c r="H30" s="11">
        <v>669</v>
      </c>
      <c r="I30" s="11">
        <f>G30-$G$19</f>
        <v>168</v>
      </c>
      <c r="J30" s="11">
        <f t="shared" si="4"/>
        <v>336</v>
      </c>
      <c r="K30" s="11">
        <f t="shared" si="5"/>
        <v>5.6</v>
      </c>
      <c r="L30" s="11">
        <f>$G$21-$G$20+J14</f>
        <v>660</v>
      </c>
      <c r="M30" s="11">
        <f t="shared" si="7"/>
        <v>11</v>
      </c>
    </row>
    <row r="31" spans="2:13" x14ac:dyDescent="0.25">
      <c r="F31" s="11" t="s">
        <v>1</v>
      </c>
      <c r="G31" s="11">
        <v>352</v>
      </c>
      <c r="H31" s="11">
        <v>717</v>
      </c>
      <c r="I31" s="11">
        <f t="shared" si="3"/>
        <v>192</v>
      </c>
      <c r="J31" s="11">
        <f t="shared" si="4"/>
        <v>384</v>
      </c>
      <c r="K31" s="11">
        <f t="shared" si="5"/>
        <v>6.4</v>
      </c>
      <c r="L31" s="11">
        <f>$G$21-$G$20+J15</f>
        <v>652</v>
      </c>
      <c r="M31" s="11">
        <f t="shared" si="7"/>
        <v>10.87</v>
      </c>
    </row>
    <row r="34" spans="6:13" x14ac:dyDescent="0.25">
      <c r="F34" s="8" t="s">
        <v>43</v>
      </c>
    </row>
    <row r="35" spans="6:13" x14ac:dyDescent="0.25">
      <c r="F35" s="4" t="s">
        <v>34</v>
      </c>
      <c r="G35" s="3">
        <v>161</v>
      </c>
      <c r="H35" s="1"/>
    </row>
    <row r="36" spans="6:13" x14ac:dyDescent="0.25">
      <c r="F36" s="4" t="s">
        <v>35</v>
      </c>
      <c r="G36" s="5">
        <v>322</v>
      </c>
    </row>
    <row r="37" spans="6:13" x14ac:dyDescent="0.25">
      <c r="F37" s="4" t="s">
        <v>40</v>
      </c>
      <c r="G37" s="5">
        <v>779</v>
      </c>
    </row>
    <row r="38" spans="6:13" x14ac:dyDescent="0.25">
      <c r="F38" s="10" t="s">
        <v>31</v>
      </c>
      <c r="G38" s="10" t="s">
        <v>36</v>
      </c>
      <c r="H38" s="10" t="s">
        <v>37</v>
      </c>
      <c r="I38" s="10" t="s">
        <v>32</v>
      </c>
      <c r="J38" s="10" t="s">
        <v>33</v>
      </c>
      <c r="K38" s="10" t="s">
        <v>38</v>
      </c>
      <c r="L38" s="10" t="s">
        <v>41</v>
      </c>
      <c r="M38" s="10" t="s">
        <v>42</v>
      </c>
    </row>
    <row r="39" spans="6:13" x14ac:dyDescent="0.25">
      <c r="F39" s="11" t="s">
        <v>6</v>
      </c>
      <c r="G39" s="11">
        <v>369</v>
      </c>
      <c r="H39" s="11">
        <v>738</v>
      </c>
      <c r="I39" s="11">
        <f>G39-$G$35</f>
        <v>208</v>
      </c>
      <c r="J39" s="11">
        <f>H39-$G$36</f>
        <v>416</v>
      </c>
      <c r="K39" s="11">
        <f>ROUND(J39/60, 2)</f>
        <v>6.93</v>
      </c>
      <c r="L39" s="11">
        <f>$G$37-$G$36+J6</f>
        <v>557</v>
      </c>
      <c r="M39" s="11">
        <f>ROUND(L39/60, 2)</f>
        <v>9.2799999999999994</v>
      </c>
    </row>
    <row r="40" spans="6:13" x14ac:dyDescent="0.25">
      <c r="F40" s="11" t="s">
        <v>8</v>
      </c>
      <c r="G40" s="11">
        <v>399</v>
      </c>
      <c r="H40" s="11">
        <v>798</v>
      </c>
      <c r="I40" s="11">
        <f t="shared" ref="I40:I47" si="8">G40-$G$35</f>
        <v>238</v>
      </c>
      <c r="J40" s="11">
        <f t="shared" ref="J40:J47" si="9">H40-$G$36</f>
        <v>476</v>
      </c>
      <c r="K40" s="11">
        <f t="shared" ref="K40:K47" si="10">ROUND(J40/60, 2)</f>
        <v>7.93</v>
      </c>
      <c r="L40" s="11">
        <f>$G$37-$G$36+J7</f>
        <v>647</v>
      </c>
      <c r="M40" s="11">
        <f t="shared" ref="M40:M47" si="11">ROUND(L40/60, 2)</f>
        <v>10.78</v>
      </c>
    </row>
    <row r="41" spans="6:13" x14ac:dyDescent="0.25">
      <c r="F41" s="11" t="s">
        <v>4</v>
      </c>
      <c r="G41" s="11">
        <v>386</v>
      </c>
      <c r="H41" s="11">
        <v>772</v>
      </c>
      <c r="I41" s="11">
        <f t="shared" si="8"/>
        <v>225</v>
      </c>
      <c r="J41" s="11">
        <f t="shared" si="9"/>
        <v>450</v>
      </c>
      <c r="K41" s="11">
        <f t="shared" si="10"/>
        <v>7.5</v>
      </c>
      <c r="L41" s="11">
        <f t="shared" ref="L41:L43" si="12">$G$37-$G$36+J8</f>
        <v>511</v>
      </c>
      <c r="M41" s="11">
        <f t="shared" si="11"/>
        <v>8.52</v>
      </c>
    </row>
    <row r="42" spans="6:13" x14ac:dyDescent="0.25">
      <c r="F42" s="11" t="s">
        <v>0</v>
      </c>
      <c r="G42" s="11">
        <v>403</v>
      </c>
      <c r="H42" s="11">
        <v>806</v>
      </c>
      <c r="I42" s="11">
        <f t="shared" si="8"/>
        <v>242</v>
      </c>
      <c r="J42" s="11">
        <f t="shared" si="9"/>
        <v>484</v>
      </c>
      <c r="K42" s="11">
        <f t="shared" si="10"/>
        <v>8.07</v>
      </c>
      <c r="L42" s="11">
        <f t="shared" si="12"/>
        <v>727</v>
      </c>
      <c r="M42" s="11">
        <f t="shared" si="11"/>
        <v>12.12</v>
      </c>
    </row>
    <row r="43" spans="6:13" x14ac:dyDescent="0.25">
      <c r="F43" s="11" t="s">
        <v>2</v>
      </c>
      <c r="G43" s="11">
        <v>380</v>
      </c>
      <c r="H43" s="11">
        <v>760</v>
      </c>
      <c r="I43" s="11">
        <f t="shared" si="8"/>
        <v>219</v>
      </c>
      <c r="J43" s="11">
        <f t="shared" si="9"/>
        <v>438</v>
      </c>
      <c r="K43" s="11">
        <f t="shared" si="10"/>
        <v>7.3</v>
      </c>
      <c r="L43" s="11">
        <f t="shared" si="12"/>
        <v>693</v>
      </c>
      <c r="M43" s="11">
        <f t="shared" si="11"/>
        <v>11.55</v>
      </c>
    </row>
    <row r="44" spans="6:13" x14ac:dyDescent="0.25">
      <c r="F44" s="11" t="s">
        <v>5</v>
      </c>
      <c r="G44" s="11">
        <v>380</v>
      </c>
      <c r="H44" s="11">
        <v>760</v>
      </c>
      <c r="I44" s="11">
        <f t="shared" si="8"/>
        <v>219</v>
      </c>
      <c r="J44" s="11">
        <f t="shared" si="9"/>
        <v>438</v>
      </c>
      <c r="K44" s="11">
        <f t="shared" si="10"/>
        <v>7.3</v>
      </c>
      <c r="L44" s="11">
        <f>$G$37-$G$36+J12</f>
        <v>671</v>
      </c>
      <c r="M44" s="11">
        <f t="shared" si="11"/>
        <v>11.18</v>
      </c>
    </row>
    <row r="45" spans="6:13" x14ac:dyDescent="0.25">
      <c r="F45" s="11" t="s">
        <v>3</v>
      </c>
      <c r="G45" s="11">
        <v>379</v>
      </c>
      <c r="H45" s="11">
        <v>758</v>
      </c>
      <c r="I45" s="11">
        <f t="shared" si="8"/>
        <v>218</v>
      </c>
      <c r="J45" s="11">
        <f t="shared" si="9"/>
        <v>436</v>
      </c>
      <c r="K45" s="11">
        <f t="shared" si="10"/>
        <v>7.27</v>
      </c>
      <c r="L45" s="11">
        <f>$G$37-$G$36+J13</f>
        <v>647</v>
      </c>
      <c r="M45" s="11">
        <f t="shared" si="11"/>
        <v>10.78</v>
      </c>
    </row>
    <row r="46" spans="6:13" x14ac:dyDescent="0.25">
      <c r="F46" s="11" t="s">
        <v>9</v>
      </c>
      <c r="G46" s="11">
        <v>389</v>
      </c>
      <c r="H46" s="11">
        <v>778</v>
      </c>
      <c r="I46" s="11">
        <f t="shared" si="8"/>
        <v>228</v>
      </c>
      <c r="J46" s="11">
        <f t="shared" si="9"/>
        <v>456</v>
      </c>
      <c r="K46" s="11">
        <f t="shared" si="10"/>
        <v>7.6</v>
      </c>
      <c r="L46" s="11">
        <f>$G$37-$G$36+J14</f>
        <v>657</v>
      </c>
      <c r="M46" s="11">
        <f t="shared" si="11"/>
        <v>10.95</v>
      </c>
    </row>
    <row r="47" spans="6:13" x14ac:dyDescent="0.25">
      <c r="F47" s="11" t="s">
        <v>1</v>
      </c>
      <c r="G47" s="11">
        <v>391</v>
      </c>
      <c r="H47" s="11">
        <v>782</v>
      </c>
      <c r="I47" s="11">
        <f t="shared" si="8"/>
        <v>230</v>
      </c>
      <c r="J47" s="11">
        <f t="shared" si="9"/>
        <v>460</v>
      </c>
      <c r="K47" s="11">
        <f t="shared" si="10"/>
        <v>7.67</v>
      </c>
      <c r="L47" s="11">
        <f>$G$37-$G$36+J15</f>
        <v>649</v>
      </c>
      <c r="M47" s="11">
        <f t="shared" si="11"/>
        <v>10.82</v>
      </c>
    </row>
    <row r="50" spans="6:13" x14ac:dyDescent="0.25">
      <c r="F50" s="8" t="s">
        <v>44</v>
      </c>
    </row>
    <row r="51" spans="6:13" x14ac:dyDescent="0.25">
      <c r="F51" s="4" t="s">
        <v>34</v>
      </c>
      <c r="G51" s="3">
        <v>149</v>
      </c>
      <c r="H51" s="1"/>
    </row>
    <row r="52" spans="6:13" x14ac:dyDescent="0.25">
      <c r="F52" s="4" t="s">
        <v>35</v>
      </c>
      <c r="G52" s="5">
        <v>298</v>
      </c>
    </row>
    <row r="53" spans="6:13" x14ac:dyDescent="0.25">
      <c r="F53" s="4" t="s">
        <v>40</v>
      </c>
      <c r="G53" s="5">
        <v>811</v>
      </c>
    </row>
    <row r="54" spans="6:13" x14ac:dyDescent="0.25">
      <c r="F54" s="10" t="s">
        <v>31</v>
      </c>
      <c r="G54" s="10" t="s">
        <v>36</v>
      </c>
      <c r="H54" s="10" t="s">
        <v>37</v>
      </c>
      <c r="I54" s="10" t="s">
        <v>32</v>
      </c>
      <c r="J54" s="10" t="s">
        <v>33</v>
      </c>
      <c r="K54" s="10" t="s">
        <v>38</v>
      </c>
      <c r="L54" s="10" t="s">
        <v>41</v>
      </c>
      <c r="M54" s="10" t="s">
        <v>42</v>
      </c>
    </row>
    <row r="55" spans="6:13" x14ac:dyDescent="0.25">
      <c r="F55" s="11" t="s">
        <v>6</v>
      </c>
      <c r="G55" s="11">
        <v>294</v>
      </c>
      <c r="H55" s="11">
        <v>588</v>
      </c>
      <c r="I55" s="11">
        <f>G55-$G$51</f>
        <v>145</v>
      </c>
      <c r="J55" s="11">
        <f>H55-$G$52</f>
        <v>290</v>
      </c>
      <c r="K55" s="11">
        <f>ROUND(J55/60, 2)</f>
        <v>4.83</v>
      </c>
      <c r="L55" s="11">
        <f>$G$53-$G$52+J6</f>
        <v>613</v>
      </c>
      <c r="M55" s="11">
        <f>ROUND(L55/60, 2)</f>
        <v>10.220000000000001</v>
      </c>
    </row>
    <row r="56" spans="6:13" x14ac:dyDescent="0.25">
      <c r="F56" s="11" t="s">
        <v>8</v>
      </c>
      <c r="G56" s="11">
        <v>326</v>
      </c>
      <c r="H56" s="11">
        <v>652</v>
      </c>
      <c r="I56" s="11">
        <f>G56-$G$51</f>
        <v>177</v>
      </c>
      <c r="J56" s="11">
        <f t="shared" ref="J56:J62" si="13">H56-$G$52</f>
        <v>354</v>
      </c>
      <c r="K56" s="11">
        <f t="shared" ref="K56:K63" si="14">ROUND(J56/60, 2)</f>
        <v>5.9</v>
      </c>
      <c r="L56" s="11">
        <f t="shared" ref="L56:L60" si="15">$G$53-$G$52+J7</f>
        <v>703</v>
      </c>
      <c r="M56" s="11">
        <f t="shared" ref="M56:M63" si="16">ROUND(L56/60, 2)</f>
        <v>11.72</v>
      </c>
    </row>
    <row r="57" spans="6:13" x14ac:dyDescent="0.25">
      <c r="F57" s="11" t="s">
        <v>4</v>
      </c>
      <c r="G57" s="11">
        <v>319</v>
      </c>
      <c r="H57" s="11">
        <v>638</v>
      </c>
      <c r="I57" s="11">
        <f t="shared" ref="I56:I62" si="17">G57-$G$51</f>
        <v>170</v>
      </c>
      <c r="J57" s="11">
        <f t="shared" si="13"/>
        <v>340</v>
      </c>
      <c r="K57" s="11">
        <f t="shared" si="14"/>
        <v>5.67</v>
      </c>
      <c r="L57" s="11">
        <f t="shared" si="15"/>
        <v>567</v>
      </c>
      <c r="M57" s="11">
        <f t="shared" si="16"/>
        <v>9.4499999999999993</v>
      </c>
    </row>
    <row r="58" spans="6:13" x14ac:dyDescent="0.25">
      <c r="F58" s="11" t="s">
        <v>0</v>
      </c>
      <c r="G58" s="11">
        <v>320</v>
      </c>
      <c r="H58" s="11">
        <v>640</v>
      </c>
      <c r="I58" s="11">
        <f t="shared" si="17"/>
        <v>171</v>
      </c>
      <c r="J58" s="11">
        <f t="shared" si="13"/>
        <v>342</v>
      </c>
      <c r="K58" s="11">
        <f t="shared" si="14"/>
        <v>5.7</v>
      </c>
      <c r="L58" s="11">
        <f t="shared" si="15"/>
        <v>783</v>
      </c>
      <c r="M58" s="11">
        <f t="shared" si="16"/>
        <v>13.05</v>
      </c>
    </row>
    <row r="59" spans="6:13" x14ac:dyDescent="0.25">
      <c r="F59" s="11" t="s">
        <v>2</v>
      </c>
      <c r="G59" s="11">
        <v>307</v>
      </c>
      <c r="H59" s="11">
        <v>614</v>
      </c>
      <c r="I59" s="11">
        <f t="shared" si="17"/>
        <v>158</v>
      </c>
      <c r="J59" s="11">
        <f t="shared" si="13"/>
        <v>316</v>
      </c>
      <c r="K59" s="11">
        <f t="shared" si="14"/>
        <v>5.27</v>
      </c>
      <c r="L59" s="11">
        <f t="shared" si="15"/>
        <v>749</v>
      </c>
      <c r="M59" s="11">
        <f t="shared" si="16"/>
        <v>12.48</v>
      </c>
    </row>
    <row r="60" spans="6:13" x14ac:dyDescent="0.25">
      <c r="F60" s="11" t="s">
        <v>7</v>
      </c>
      <c r="G60" s="11">
        <v>309</v>
      </c>
      <c r="H60" s="11">
        <v>618</v>
      </c>
      <c r="I60" s="11">
        <f t="shared" si="17"/>
        <v>160</v>
      </c>
      <c r="J60" s="11">
        <f t="shared" si="13"/>
        <v>320</v>
      </c>
      <c r="K60" s="11">
        <f t="shared" si="14"/>
        <v>5.33</v>
      </c>
      <c r="L60" s="11">
        <f t="shared" si="15"/>
        <v>703</v>
      </c>
      <c r="M60" s="11">
        <f t="shared" si="16"/>
        <v>11.72</v>
      </c>
    </row>
    <row r="61" spans="6:13" x14ac:dyDescent="0.25">
      <c r="F61" s="11" t="s">
        <v>3</v>
      </c>
      <c r="G61" s="11">
        <v>304</v>
      </c>
      <c r="H61" s="11">
        <v>608</v>
      </c>
      <c r="I61" s="11">
        <f t="shared" si="17"/>
        <v>155</v>
      </c>
      <c r="J61" s="11">
        <f t="shared" si="13"/>
        <v>310</v>
      </c>
      <c r="K61" s="11">
        <f t="shared" si="14"/>
        <v>5.17</v>
      </c>
      <c r="L61" s="11">
        <f>$G$53-$G$52+J13</f>
        <v>703</v>
      </c>
      <c r="M61" s="11">
        <f t="shared" si="16"/>
        <v>11.72</v>
      </c>
    </row>
    <row r="62" spans="6:13" x14ac:dyDescent="0.25">
      <c r="F62" s="11" t="s">
        <v>9</v>
      </c>
      <c r="G62" s="11">
        <v>308</v>
      </c>
      <c r="H62" s="11">
        <v>616</v>
      </c>
      <c r="I62" s="11">
        <f t="shared" si="17"/>
        <v>159</v>
      </c>
      <c r="J62" s="11">
        <f t="shared" si="13"/>
        <v>318</v>
      </c>
      <c r="K62" s="11">
        <f t="shared" si="14"/>
        <v>5.3</v>
      </c>
      <c r="L62" s="11">
        <f>$G$53-$G$52+J14</f>
        <v>713</v>
      </c>
      <c r="M62" s="11">
        <f t="shared" si="16"/>
        <v>11.88</v>
      </c>
    </row>
    <row r="63" spans="6:13" x14ac:dyDescent="0.25">
      <c r="F63" s="11" t="s">
        <v>1</v>
      </c>
      <c r="G63" s="11">
        <v>317</v>
      </c>
      <c r="H63" s="11">
        <v>634</v>
      </c>
      <c r="I63" s="11">
        <f>G63-$G$51</f>
        <v>168</v>
      </c>
      <c r="J63" s="11">
        <f>H63-$G$52</f>
        <v>336</v>
      </c>
      <c r="K63" s="11">
        <f t="shared" si="14"/>
        <v>5.6</v>
      </c>
      <c r="L63" s="11">
        <f>$G$53-$G$52+J15</f>
        <v>705</v>
      </c>
      <c r="M63" s="11">
        <f t="shared" si="16"/>
        <v>11.75</v>
      </c>
    </row>
    <row r="66" spans="6:13" x14ac:dyDescent="0.25">
      <c r="F66" s="8" t="s">
        <v>46</v>
      </c>
    </row>
    <row r="67" spans="6:13" x14ac:dyDescent="0.25">
      <c r="F67" s="4" t="s">
        <v>34</v>
      </c>
      <c r="G67" s="3">
        <v>154</v>
      </c>
      <c r="H67" s="1"/>
    </row>
    <row r="68" spans="6:13" x14ac:dyDescent="0.25">
      <c r="F68" s="4" t="s">
        <v>35</v>
      </c>
      <c r="G68" s="5">
        <v>308</v>
      </c>
    </row>
    <row r="69" spans="6:13" x14ac:dyDescent="0.25">
      <c r="F69" s="4" t="s">
        <v>40</v>
      </c>
      <c r="G69" s="5">
        <v>766</v>
      </c>
    </row>
    <row r="70" spans="6:13" x14ac:dyDescent="0.25">
      <c r="F70" s="10" t="s">
        <v>31</v>
      </c>
      <c r="G70" s="10" t="s">
        <v>36</v>
      </c>
      <c r="H70" s="10" t="s">
        <v>37</v>
      </c>
      <c r="I70" s="10" t="s">
        <v>32</v>
      </c>
      <c r="J70" s="10" t="s">
        <v>33</v>
      </c>
      <c r="K70" s="10" t="s">
        <v>38</v>
      </c>
      <c r="L70" s="10" t="s">
        <v>41</v>
      </c>
      <c r="M70" s="10" t="s">
        <v>42</v>
      </c>
    </row>
    <row r="71" spans="6:13" x14ac:dyDescent="0.25">
      <c r="F71" s="11" t="s">
        <v>6</v>
      </c>
      <c r="G71" s="11">
        <v>322</v>
      </c>
      <c r="H71" s="11">
        <v>644</v>
      </c>
      <c r="I71" s="11">
        <f>G71-$G$67</f>
        <v>168</v>
      </c>
      <c r="J71" s="11">
        <f>H71-$G$68</f>
        <v>336</v>
      </c>
      <c r="K71" s="11">
        <f>ROUND(J71/60, 2)</f>
        <v>5.6</v>
      </c>
      <c r="L71" s="11">
        <f>$G$69-$G$68+J6</f>
        <v>558</v>
      </c>
      <c r="M71" s="11">
        <f>ROUND(L71/60, 2)</f>
        <v>9.3000000000000007</v>
      </c>
    </row>
    <row r="72" spans="6:13" x14ac:dyDescent="0.25">
      <c r="F72" s="11" t="s">
        <v>8</v>
      </c>
      <c r="G72" s="11">
        <v>344</v>
      </c>
      <c r="H72" s="11">
        <v>688</v>
      </c>
      <c r="I72" s="11">
        <f t="shared" ref="I72:I77" si="18">G72-$G$67</f>
        <v>190</v>
      </c>
      <c r="J72" s="11">
        <f t="shared" ref="J72:J79" si="19">H72-$G$68</f>
        <v>380</v>
      </c>
      <c r="K72" s="11">
        <f t="shared" ref="K72:K79" si="20">ROUND(J72/60, 2)</f>
        <v>6.33</v>
      </c>
      <c r="L72" s="11">
        <f t="shared" ref="L72:L76" si="21">$G$69-$G$68+J7</f>
        <v>648</v>
      </c>
      <c r="M72" s="11">
        <f t="shared" ref="M72:M78" si="22">ROUND(L72/60, 2)</f>
        <v>10.8</v>
      </c>
    </row>
    <row r="73" spans="6:13" x14ac:dyDescent="0.25">
      <c r="F73" s="11" t="s">
        <v>4</v>
      </c>
      <c r="G73" s="11">
        <v>363</v>
      </c>
      <c r="H73" s="11">
        <v>726</v>
      </c>
      <c r="I73" s="11">
        <f t="shared" si="18"/>
        <v>209</v>
      </c>
      <c r="J73" s="11">
        <f t="shared" si="19"/>
        <v>418</v>
      </c>
      <c r="K73" s="11">
        <f t="shared" si="20"/>
        <v>6.97</v>
      </c>
      <c r="L73" s="11">
        <f t="shared" si="21"/>
        <v>512</v>
      </c>
      <c r="M73" s="11">
        <f t="shared" si="22"/>
        <v>8.5299999999999994</v>
      </c>
    </row>
    <row r="74" spans="6:13" x14ac:dyDescent="0.25">
      <c r="F74" s="11" t="s">
        <v>0</v>
      </c>
      <c r="G74" s="11">
        <v>350</v>
      </c>
      <c r="H74" s="11">
        <v>700</v>
      </c>
      <c r="I74" s="11">
        <f t="shared" si="18"/>
        <v>196</v>
      </c>
      <c r="J74" s="11">
        <f t="shared" si="19"/>
        <v>392</v>
      </c>
      <c r="K74" s="11">
        <f t="shared" si="20"/>
        <v>6.53</v>
      </c>
      <c r="L74" s="11">
        <f t="shared" si="21"/>
        <v>728</v>
      </c>
      <c r="M74" s="11">
        <f t="shared" si="22"/>
        <v>12.13</v>
      </c>
    </row>
    <row r="75" spans="6:13" x14ac:dyDescent="0.25">
      <c r="F75" s="11" t="s">
        <v>2</v>
      </c>
      <c r="G75" s="11">
        <v>332</v>
      </c>
      <c r="H75" s="11">
        <v>664</v>
      </c>
      <c r="I75" s="11">
        <f t="shared" si="18"/>
        <v>178</v>
      </c>
      <c r="J75" s="11">
        <f t="shared" si="19"/>
        <v>356</v>
      </c>
      <c r="K75" s="11">
        <f t="shared" si="20"/>
        <v>5.93</v>
      </c>
      <c r="L75" s="11">
        <f t="shared" si="21"/>
        <v>694</v>
      </c>
      <c r="M75" s="11">
        <f t="shared" si="22"/>
        <v>11.57</v>
      </c>
    </row>
    <row r="76" spans="6:13" x14ac:dyDescent="0.25">
      <c r="F76" s="11" t="s">
        <v>7</v>
      </c>
      <c r="G76" s="11">
        <v>334</v>
      </c>
      <c r="H76" s="11">
        <v>668</v>
      </c>
      <c r="I76" s="11">
        <f t="shared" si="18"/>
        <v>180</v>
      </c>
      <c r="J76" s="11">
        <f t="shared" si="19"/>
        <v>360</v>
      </c>
      <c r="K76" s="11">
        <f t="shared" si="20"/>
        <v>6</v>
      </c>
      <c r="L76" s="11">
        <f t="shared" si="21"/>
        <v>648</v>
      </c>
      <c r="M76" s="11">
        <f t="shared" si="22"/>
        <v>10.8</v>
      </c>
    </row>
    <row r="77" spans="6:13" x14ac:dyDescent="0.25">
      <c r="F77" s="11" t="s">
        <v>5</v>
      </c>
      <c r="G77" s="11">
        <v>340</v>
      </c>
      <c r="H77" s="11">
        <v>680</v>
      </c>
      <c r="I77" s="11">
        <f t="shared" si="18"/>
        <v>186</v>
      </c>
      <c r="J77" s="11">
        <f t="shared" si="19"/>
        <v>372</v>
      </c>
      <c r="K77" s="11">
        <f t="shared" si="20"/>
        <v>6.2</v>
      </c>
      <c r="L77" s="11">
        <f>$G$69-$G$68+J12</f>
        <v>672</v>
      </c>
      <c r="M77" s="11">
        <f t="shared" si="22"/>
        <v>11.2</v>
      </c>
    </row>
    <row r="78" spans="6:13" x14ac:dyDescent="0.25">
      <c r="F78" s="11" t="s">
        <v>9</v>
      </c>
      <c r="G78" s="11">
        <v>337</v>
      </c>
      <c r="H78" s="11">
        <v>674</v>
      </c>
      <c r="I78" s="11">
        <f>G78-$G$67</f>
        <v>183</v>
      </c>
      <c r="J78" s="11">
        <f>H78-$G$68</f>
        <v>366</v>
      </c>
      <c r="K78" s="11">
        <f t="shared" si="20"/>
        <v>6.1</v>
      </c>
      <c r="L78" s="11">
        <f>$G$69-$G$68+J14</f>
        <v>658</v>
      </c>
      <c r="M78" s="11">
        <f t="shared" si="22"/>
        <v>10.97</v>
      </c>
    </row>
    <row r="79" spans="6:13" x14ac:dyDescent="0.25">
      <c r="F79" s="11" t="s">
        <v>1</v>
      </c>
      <c r="G79" s="11">
        <v>352</v>
      </c>
      <c r="H79" s="11">
        <v>704</v>
      </c>
      <c r="I79" s="11">
        <f>G79-$G$67</f>
        <v>198</v>
      </c>
      <c r="J79" s="11">
        <f t="shared" si="19"/>
        <v>396</v>
      </c>
      <c r="K79" s="11">
        <f t="shared" si="20"/>
        <v>6.6</v>
      </c>
      <c r="L79" s="11">
        <f>$G$69-$G$68+J15</f>
        <v>650</v>
      </c>
      <c r="M79" s="11">
        <f>ROUND(L79/60, 2)</f>
        <v>10.83</v>
      </c>
    </row>
    <row r="82" spans="6:13" x14ac:dyDescent="0.25">
      <c r="F82" s="8" t="s">
        <v>47</v>
      </c>
    </row>
    <row r="83" spans="6:13" x14ac:dyDescent="0.25">
      <c r="F83" s="4" t="s">
        <v>34</v>
      </c>
      <c r="G83" s="3">
        <v>167</v>
      </c>
      <c r="H83" s="1"/>
    </row>
    <row r="84" spans="6:13" x14ac:dyDescent="0.25">
      <c r="F84" s="4" t="s">
        <v>35</v>
      </c>
      <c r="G84" s="5">
        <v>334</v>
      </c>
    </row>
    <row r="85" spans="6:13" x14ac:dyDescent="0.25">
      <c r="F85" s="4" t="s">
        <v>40</v>
      </c>
      <c r="G85" s="5">
        <v>589</v>
      </c>
    </row>
    <row r="86" spans="6:13" x14ac:dyDescent="0.25">
      <c r="F86" s="10" t="s">
        <v>31</v>
      </c>
      <c r="G86" s="10" t="s">
        <v>36</v>
      </c>
      <c r="H86" s="10" t="s">
        <v>37</v>
      </c>
      <c r="I86" s="10" t="s">
        <v>32</v>
      </c>
      <c r="J86" s="10" t="s">
        <v>33</v>
      </c>
      <c r="K86" s="10" t="s">
        <v>38</v>
      </c>
      <c r="L86" s="10" t="s">
        <v>41</v>
      </c>
      <c r="M86" s="10" t="s">
        <v>42</v>
      </c>
    </row>
    <row r="87" spans="6:13" x14ac:dyDescent="0.25">
      <c r="F87" s="11" t="s">
        <v>6</v>
      </c>
      <c r="G87" s="11">
        <v>304</v>
      </c>
      <c r="H87" s="11">
        <v>608</v>
      </c>
      <c r="I87" s="11">
        <f>G87-$G$83</f>
        <v>137</v>
      </c>
      <c r="J87" s="11">
        <f>H87-$G$84</f>
        <v>274</v>
      </c>
      <c r="K87" s="11">
        <f>ROUND(J87/60, 2)</f>
        <v>4.57</v>
      </c>
      <c r="L87" s="11">
        <f>$G$85-$G$84+J6</f>
        <v>355</v>
      </c>
      <c r="M87" s="11">
        <f>ROUND(L87/60, 2)</f>
        <v>5.92</v>
      </c>
    </row>
    <row r="88" spans="6:13" x14ac:dyDescent="0.25">
      <c r="F88" s="11" t="s">
        <v>8</v>
      </c>
      <c r="G88" s="11">
        <v>314</v>
      </c>
      <c r="H88" s="11">
        <v>628</v>
      </c>
      <c r="I88" s="11">
        <f t="shared" ref="I88:I94" si="23">G88-$G$83</f>
        <v>147</v>
      </c>
      <c r="J88" s="11">
        <f t="shared" ref="J88:J94" si="24">H88-$G$84</f>
        <v>294</v>
      </c>
      <c r="K88" s="11">
        <f t="shared" ref="K88:K95" si="25">ROUND(J88/60, 2)</f>
        <v>4.9000000000000004</v>
      </c>
      <c r="L88" s="11">
        <f t="shared" ref="L88:L94" si="26">$G$85-$G$84+J7</f>
        <v>445</v>
      </c>
      <c r="M88" s="11">
        <f t="shared" ref="M88:M95" si="27">ROUND(L88/60, 2)</f>
        <v>7.42</v>
      </c>
    </row>
    <row r="89" spans="6:13" x14ac:dyDescent="0.25">
      <c r="F89" s="11" t="s">
        <v>4</v>
      </c>
      <c r="G89" s="11">
        <v>328</v>
      </c>
      <c r="H89" s="11">
        <v>656</v>
      </c>
      <c r="I89" s="11">
        <f t="shared" si="23"/>
        <v>161</v>
      </c>
      <c r="J89" s="11">
        <f t="shared" si="24"/>
        <v>322</v>
      </c>
      <c r="K89" s="11">
        <f t="shared" si="25"/>
        <v>5.37</v>
      </c>
      <c r="L89" s="11">
        <f t="shared" si="26"/>
        <v>309</v>
      </c>
      <c r="M89" s="11">
        <f t="shared" si="27"/>
        <v>5.15</v>
      </c>
    </row>
    <row r="90" spans="6:13" x14ac:dyDescent="0.25">
      <c r="F90" s="11" t="s">
        <v>0</v>
      </c>
      <c r="G90" s="11">
        <v>327</v>
      </c>
      <c r="H90" s="11">
        <v>654</v>
      </c>
      <c r="I90" s="11">
        <f t="shared" si="23"/>
        <v>160</v>
      </c>
      <c r="J90" s="11">
        <f t="shared" si="24"/>
        <v>320</v>
      </c>
      <c r="K90" s="11">
        <f t="shared" si="25"/>
        <v>5.33</v>
      </c>
      <c r="L90" s="11">
        <f t="shared" si="26"/>
        <v>525</v>
      </c>
      <c r="M90" s="11">
        <f t="shared" si="27"/>
        <v>8.75</v>
      </c>
    </row>
    <row r="91" spans="6:13" x14ac:dyDescent="0.25">
      <c r="F91" s="11" t="s">
        <v>2</v>
      </c>
      <c r="G91" s="11">
        <v>322</v>
      </c>
      <c r="H91" s="11">
        <v>644</v>
      </c>
      <c r="I91" s="11">
        <f t="shared" si="23"/>
        <v>155</v>
      </c>
      <c r="J91" s="11">
        <f t="shared" si="24"/>
        <v>310</v>
      </c>
      <c r="K91" s="11">
        <f t="shared" si="25"/>
        <v>5.17</v>
      </c>
      <c r="L91" s="11">
        <f t="shared" si="26"/>
        <v>491</v>
      </c>
      <c r="M91" s="11">
        <f t="shared" si="27"/>
        <v>8.18</v>
      </c>
    </row>
    <row r="92" spans="6:13" x14ac:dyDescent="0.25">
      <c r="F92" s="11" t="s">
        <v>7</v>
      </c>
      <c r="G92" s="11">
        <v>305</v>
      </c>
      <c r="H92" s="11">
        <v>610</v>
      </c>
      <c r="I92" s="11">
        <f t="shared" si="23"/>
        <v>138</v>
      </c>
      <c r="J92" s="11">
        <f t="shared" si="24"/>
        <v>276</v>
      </c>
      <c r="K92" s="11">
        <f t="shared" si="25"/>
        <v>4.5999999999999996</v>
      </c>
      <c r="L92" s="11">
        <f>$G$85-$G$84+J11</f>
        <v>445</v>
      </c>
      <c r="M92" s="11">
        <f t="shared" si="27"/>
        <v>7.42</v>
      </c>
    </row>
    <row r="93" spans="6:13" x14ac:dyDescent="0.25">
      <c r="F93" s="11" t="s">
        <v>5</v>
      </c>
      <c r="G93" s="11">
        <v>314</v>
      </c>
      <c r="H93" s="11">
        <v>628</v>
      </c>
      <c r="I93" s="11">
        <f t="shared" si="23"/>
        <v>147</v>
      </c>
      <c r="J93" s="11">
        <f t="shared" si="24"/>
        <v>294</v>
      </c>
      <c r="K93" s="11">
        <f t="shared" si="25"/>
        <v>4.9000000000000004</v>
      </c>
      <c r="L93" s="11">
        <f t="shared" si="26"/>
        <v>469</v>
      </c>
      <c r="M93" s="11">
        <f t="shared" si="27"/>
        <v>7.82</v>
      </c>
    </row>
    <row r="94" spans="6:13" x14ac:dyDescent="0.25">
      <c r="F94" s="11" t="s">
        <v>3</v>
      </c>
      <c r="G94" s="11">
        <v>305</v>
      </c>
      <c r="H94" s="11">
        <v>610</v>
      </c>
      <c r="I94" s="11">
        <f t="shared" si="23"/>
        <v>138</v>
      </c>
      <c r="J94" s="11">
        <f t="shared" si="24"/>
        <v>276</v>
      </c>
      <c r="K94" s="11">
        <f>ROUND(J94/60, 2)</f>
        <v>4.5999999999999996</v>
      </c>
      <c r="L94" s="11">
        <f t="shared" si="26"/>
        <v>445</v>
      </c>
      <c r="M94" s="11">
        <f t="shared" si="27"/>
        <v>7.42</v>
      </c>
    </row>
    <row r="95" spans="6:13" x14ac:dyDescent="0.25">
      <c r="F95" s="11" t="s">
        <v>9</v>
      </c>
      <c r="G95" s="11">
        <v>319</v>
      </c>
      <c r="H95" s="11">
        <v>638</v>
      </c>
      <c r="I95" s="11">
        <f>G95-$G$83</f>
        <v>152</v>
      </c>
      <c r="J95" s="11">
        <f>H95-$G$84</f>
        <v>304</v>
      </c>
      <c r="K95" s="11">
        <f t="shared" si="25"/>
        <v>5.07</v>
      </c>
      <c r="L95" s="11">
        <f>$G$85-$G$84+J14</f>
        <v>455</v>
      </c>
      <c r="M95" s="11">
        <f t="shared" si="27"/>
        <v>7.58</v>
      </c>
    </row>
    <row r="98" spans="6:13" x14ac:dyDescent="0.25">
      <c r="F98" s="8" t="s">
        <v>48</v>
      </c>
    </row>
    <row r="99" spans="6:13" x14ac:dyDescent="0.25">
      <c r="F99" s="4" t="s">
        <v>34</v>
      </c>
      <c r="G99" s="3">
        <v>166</v>
      </c>
      <c r="H99" s="13" t="s">
        <v>49</v>
      </c>
      <c r="I99" s="14"/>
      <c r="J99" s="14"/>
      <c r="K99" s="14"/>
      <c r="L99" s="14"/>
      <c r="M99" s="14"/>
    </row>
    <row r="100" spans="6:13" x14ac:dyDescent="0.25">
      <c r="F100" s="4" t="s">
        <v>35</v>
      </c>
      <c r="G100" s="5">
        <v>332</v>
      </c>
      <c r="H100" s="15"/>
      <c r="I100" s="14"/>
      <c r="J100" s="14"/>
      <c r="K100" s="14"/>
      <c r="L100" s="14"/>
      <c r="M100" s="14"/>
    </row>
    <row r="101" spans="6:13" x14ac:dyDescent="0.25">
      <c r="F101" s="4" t="s">
        <v>40</v>
      </c>
      <c r="G101" s="5">
        <v>705</v>
      </c>
      <c r="H101" s="16"/>
      <c r="I101" s="17"/>
      <c r="J101" s="17"/>
      <c r="K101" s="17"/>
      <c r="L101" s="17"/>
      <c r="M101" s="17"/>
    </row>
    <row r="102" spans="6:13" x14ac:dyDescent="0.25">
      <c r="F102" s="10" t="s">
        <v>31</v>
      </c>
      <c r="G102" s="10" t="s">
        <v>36</v>
      </c>
      <c r="H102" s="10" t="s">
        <v>37</v>
      </c>
      <c r="I102" s="10" t="s">
        <v>32</v>
      </c>
      <c r="J102" s="10" t="s">
        <v>33</v>
      </c>
      <c r="K102" s="10" t="s">
        <v>38</v>
      </c>
      <c r="L102" s="10" t="s">
        <v>41</v>
      </c>
      <c r="M102" s="10" t="s">
        <v>42</v>
      </c>
    </row>
    <row r="103" spans="6:13" x14ac:dyDescent="0.25">
      <c r="F103" s="11" t="s">
        <v>6</v>
      </c>
      <c r="G103" s="12">
        <v>400</v>
      </c>
      <c r="H103" s="12">
        <v>813</v>
      </c>
      <c r="I103" s="11">
        <f>G103-$G$99</f>
        <v>234</v>
      </c>
      <c r="J103" s="11">
        <f>H103-$G$100</f>
        <v>481</v>
      </c>
      <c r="K103" s="11">
        <f>ROUND(J103/60, 2)</f>
        <v>8.02</v>
      </c>
      <c r="L103" s="11">
        <f>$G$101-$G$100+J6</f>
        <v>473</v>
      </c>
      <c r="M103" s="11">
        <f>ROUND(L103/60, 2)</f>
        <v>7.88</v>
      </c>
    </row>
    <row r="104" spans="6:13" x14ac:dyDescent="0.25">
      <c r="F104" s="11" t="s">
        <v>8</v>
      </c>
      <c r="G104" s="12">
        <v>485</v>
      </c>
      <c r="H104" s="12">
        <v>985</v>
      </c>
      <c r="I104" s="11">
        <f t="shared" ref="I104:I111" si="28">G104-$G$99</f>
        <v>319</v>
      </c>
      <c r="J104" s="11">
        <f t="shared" ref="J104:J111" si="29">H104-$G$100</f>
        <v>653</v>
      </c>
      <c r="K104" s="11">
        <f t="shared" ref="K104:K111" si="30">ROUND(J104/60, 2)</f>
        <v>10.88</v>
      </c>
      <c r="L104" s="11">
        <f t="shared" ref="L104:L109" si="31">$G$101-$G$100+J7</f>
        <v>563</v>
      </c>
      <c r="M104" s="11">
        <f t="shared" ref="M104:M111" si="32">ROUND(L104/60, 2)</f>
        <v>9.3800000000000008</v>
      </c>
    </row>
    <row r="105" spans="6:13" x14ac:dyDescent="0.25">
      <c r="F105" s="11" t="s">
        <v>4</v>
      </c>
      <c r="G105" s="12">
        <v>485</v>
      </c>
      <c r="H105" s="12">
        <v>985</v>
      </c>
      <c r="I105" s="11">
        <f t="shared" si="28"/>
        <v>319</v>
      </c>
      <c r="J105" s="11">
        <f t="shared" si="29"/>
        <v>653</v>
      </c>
      <c r="K105" s="11">
        <f t="shared" si="30"/>
        <v>10.88</v>
      </c>
      <c r="L105" s="11">
        <f t="shared" si="31"/>
        <v>427</v>
      </c>
      <c r="M105" s="11">
        <f t="shared" si="32"/>
        <v>7.12</v>
      </c>
    </row>
    <row r="106" spans="6:13" x14ac:dyDescent="0.25">
      <c r="F106" s="11" t="s">
        <v>0</v>
      </c>
      <c r="G106" s="11">
        <v>451</v>
      </c>
      <c r="H106" s="11">
        <v>915</v>
      </c>
      <c r="I106" s="11">
        <f t="shared" si="28"/>
        <v>285</v>
      </c>
      <c r="J106" s="11">
        <f t="shared" si="29"/>
        <v>583</v>
      </c>
      <c r="K106" s="11">
        <f t="shared" si="30"/>
        <v>9.7200000000000006</v>
      </c>
      <c r="L106" s="11">
        <f t="shared" si="31"/>
        <v>643</v>
      </c>
      <c r="M106" s="11">
        <f t="shared" si="32"/>
        <v>10.72</v>
      </c>
    </row>
    <row r="107" spans="6:13" x14ac:dyDescent="0.25">
      <c r="F107" s="11" t="s">
        <v>2</v>
      </c>
      <c r="G107" s="12">
        <v>485</v>
      </c>
      <c r="H107" s="12">
        <v>985</v>
      </c>
      <c r="I107" s="11">
        <f t="shared" si="28"/>
        <v>319</v>
      </c>
      <c r="J107" s="11">
        <f t="shared" si="29"/>
        <v>653</v>
      </c>
      <c r="K107" s="11">
        <f t="shared" si="30"/>
        <v>10.88</v>
      </c>
      <c r="L107" s="11">
        <f t="shared" si="31"/>
        <v>609</v>
      </c>
      <c r="M107" s="11">
        <f t="shared" si="32"/>
        <v>10.15</v>
      </c>
    </row>
    <row r="108" spans="6:13" x14ac:dyDescent="0.25">
      <c r="F108" s="11" t="s">
        <v>7</v>
      </c>
      <c r="G108" s="12">
        <v>485</v>
      </c>
      <c r="H108" s="12">
        <v>985</v>
      </c>
      <c r="I108" s="11">
        <f t="shared" si="28"/>
        <v>319</v>
      </c>
      <c r="J108" s="11">
        <f t="shared" si="29"/>
        <v>653</v>
      </c>
      <c r="K108" s="11">
        <f t="shared" si="30"/>
        <v>10.88</v>
      </c>
      <c r="L108" s="11">
        <f t="shared" si="31"/>
        <v>563</v>
      </c>
      <c r="M108" s="11">
        <f t="shared" si="32"/>
        <v>9.3800000000000008</v>
      </c>
    </row>
    <row r="109" spans="6:13" x14ac:dyDescent="0.25">
      <c r="F109" s="11" t="s">
        <v>5</v>
      </c>
      <c r="G109" s="12">
        <v>485</v>
      </c>
      <c r="H109" s="12">
        <v>985</v>
      </c>
      <c r="I109" s="11">
        <f t="shared" si="28"/>
        <v>319</v>
      </c>
      <c r="J109" s="11">
        <f t="shared" si="29"/>
        <v>653</v>
      </c>
      <c r="K109" s="11">
        <f t="shared" si="30"/>
        <v>10.88</v>
      </c>
      <c r="L109" s="11">
        <f t="shared" si="31"/>
        <v>587</v>
      </c>
      <c r="M109" s="11">
        <f t="shared" si="32"/>
        <v>9.7799999999999994</v>
      </c>
    </row>
    <row r="110" spans="6:13" x14ac:dyDescent="0.25">
      <c r="F110" s="11" t="s">
        <v>3</v>
      </c>
      <c r="G110" s="12">
        <v>485</v>
      </c>
      <c r="H110" s="12">
        <v>985</v>
      </c>
      <c r="I110" s="11">
        <f t="shared" si="28"/>
        <v>319</v>
      </c>
      <c r="J110" s="11">
        <f t="shared" si="29"/>
        <v>653</v>
      </c>
      <c r="K110" s="11">
        <f>ROUND(J110/60, 2)</f>
        <v>10.88</v>
      </c>
      <c r="L110" s="11">
        <f>$G$101-$G$100+J13</f>
        <v>563</v>
      </c>
      <c r="M110" s="11">
        <f t="shared" si="32"/>
        <v>9.3800000000000008</v>
      </c>
    </row>
    <row r="111" spans="6:13" x14ac:dyDescent="0.25">
      <c r="F111" s="11" t="s">
        <v>1</v>
      </c>
      <c r="G111" s="12">
        <v>485</v>
      </c>
      <c r="H111" s="12">
        <v>985</v>
      </c>
      <c r="I111" s="11">
        <f t="shared" si="28"/>
        <v>319</v>
      </c>
      <c r="J111" s="11">
        <f t="shared" si="29"/>
        <v>653</v>
      </c>
      <c r="K111" s="11">
        <f t="shared" si="30"/>
        <v>10.88</v>
      </c>
      <c r="L111" s="11">
        <f>$G$101-$G$100+J15</f>
        <v>565</v>
      </c>
      <c r="M111" s="11">
        <f t="shared" si="32"/>
        <v>9.42</v>
      </c>
    </row>
  </sheetData>
  <mergeCells count="1">
    <mergeCell ref="H99:M101"/>
  </mergeCells>
  <conditionalFormatting sqref="J23:J31">
    <cfRule type="expression" dxfId="36" priority="23">
      <formula>J23&lt;=L23</formula>
    </cfRule>
    <cfRule type="expression" dxfId="35" priority="6">
      <formula>J23&lt;&gt;2*I23</formula>
    </cfRule>
  </conditionalFormatting>
  <conditionalFormatting sqref="J39:J47">
    <cfRule type="expression" dxfId="34" priority="20">
      <formula>J39&lt;=L39</formula>
    </cfRule>
    <cfRule type="expression" dxfId="33" priority="5">
      <formula>J39&lt;&gt;2*I39</formula>
    </cfRule>
  </conditionalFormatting>
  <conditionalFormatting sqref="J55:J63">
    <cfRule type="expression" dxfId="32" priority="18">
      <formula>J55&lt;=L55</formula>
    </cfRule>
    <cfRule type="expression" dxfId="31" priority="4">
      <formula>J55&lt;&gt;2*I55</formula>
    </cfRule>
  </conditionalFormatting>
  <conditionalFormatting sqref="J71:J79">
    <cfRule type="expression" dxfId="30" priority="16">
      <formula>J71&lt;=L71</formula>
    </cfRule>
    <cfRule type="expression" dxfId="29" priority="3">
      <formula>J71&lt;&gt;2*I71</formula>
    </cfRule>
  </conditionalFormatting>
  <conditionalFormatting sqref="J87:J95">
    <cfRule type="expression" dxfId="28" priority="14">
      <formula>J87&lt;=L87</formula>
    </cfRule>
    <cfRule type="expression" dxfId="27" priority="2">
      <formula>J87&lt;&gt;2*I87</formula>
    </cfRule>
  </conditionalFormatting>
  <conditionalFormatting sqref="J103:J111">
    <cfRule type="expression" dxfId="19" priority="12">
      <formula>J103&lt;=L103</formula>
    </cfRule>
    <cfRule type="expression" dxfId="18" priority="1">
      <formula>J103&lt;&gt;2*I103</formula>
    </cfRule>
  </conditionalFormatting>
  <conditionalFormatting sqref="L23:L31">
    <cfRule type="expression" dxfId="26" priority="22">
      <formula>L23&lt;=J23</formula>
    </cfRule>
  </conditionalFormatting>
  <conditionalFormatting sqref="L39:L47">
    <cfRule type="expression" dxfId="25" priority="19">
      <formula>L39&lt;=J39</formula>
    </cfRule>
  </conditionalFormatting>
  <conditionalFormatting sqref="L55:L63">
    <cfRule type="expression" dxfId="24" priority="17">
      <formula>L55&lt;=J55</formula>
    </cfRule>
  </conditionalFormatting>
  <conditionalFormatting sqref="L71:L79">
    <cfRule type="expression" dxfId="23" priority="15">
      <formula>L71&lt;=J71</formula>
    </cfRule>
  </conditionalFormatting>
  <conditionalFormatting sqref="L87:L95">
    <cfRule type="expression" dxfId="22" priority="13">
      <formula>L87&lt;=J87</formula>
    </cfRule>
  </conditionalFormatting>
  <conditionalFormatting sqref="L103:L111">
    <cfRule type="expression" dxfId="21" priority="11">
      <formula>L103&lt;=J103</formula>
    </cfRule>
  </conditionalFormatting>
  <conditionalFormatting sqref="J6:J15">
    <cfRule type="expression" dxfId="20" priority="7">
      <formula>J6&lt;&gt;2*I6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Green Comet Route Bruteforcing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s4004752</dc:creator>
  <cp:lastModifiedBy>s4004752</cp:lastModifiedBy>
  <cp:lastPrinted>2024-11-18T16:45:59Z</cp:lastPrinted>
  <dcterms:created xsi:type="dcterms:W3CDTF">2024-11-10T15:41:07Z</dcterms:created>
  <dcterms:modified xsi:type="dcterms:W3CDTF">2024-11-19T20:58:43Z</dcterms:modified>
</cp:coreProperties>
</file>